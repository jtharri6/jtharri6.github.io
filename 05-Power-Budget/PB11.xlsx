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justjustintyler/Downloads/"/>
    </mc:Choice>
  </mc:AlternateContent>
  <xr:revisionPtr revIDLastSave="0" documentId="8_{7E64D531-F2C7-2249-B25F-EABFA4D7FC58}" xr6:coauthVersionLast="47" xr6:coauthVersionMax="47" xr10:uidLastSave="{00000000-0000-0000-0000-000000000000}"/>
  <bookViews>
    <workbookView xWindow="12360" yWindow="760" windowWidth="17000" windowHeight="1526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1" l="1"/>
  <c r="H19" i="1"/>
  <c r="H37" i="1" l="1"/>
  <c r="H39" i="1" s="1"/>
  <c r="H28" i="1"/>
  <c r="H23" i="1"/>
  <c r="H24" i="1" s="1"/>
  <c r="H26" i="1" s="1"/>
  <c r="H10" i="1"/>
  <c r="H2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9" authorId="0" shapeId="0" xr:uid="{00000000-0006-0000-0000-000001000000}">
      <text>
        <r>
          <rPr>
            <sz val="12"/>
            <color rgb="FF000000"/>
            <rFont val="Calibri"/>
            <family val="2"/>
          </rPr>
          <t>For inductive loads (e.g., motors, solenoids) this is often called "stall current" on the data sheet</t>
        </r>
      </text>
    </comment>
  </commentList>
</comments>
</file>

<file path=xl/sharedStrings.xml><?xml version="1.0" encoding="utf-8"?>
<sst xmlns="http://schemas.openxmlformats.org/spreadsheetml/2006/main" count="88" uniqueCount="46">
  <si>
    <t>Team Number:</t>
  </si>
  <si>
    <t>Project Name:</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</si>
  <si>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</si>
  <si>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</si>
  <si>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</si>
  <si>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</si>
  <si>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</si>
  <si>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</si>
  <si>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</si>
  <si>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</si>
  <si>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</si>
  <si>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</si>
  <si>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(full part number)</t>
  </si>
  <si>
    <t>mA</t>
  </si>
  <si>
    <t>B. Assign each major component above to ONE power rail below. Try to minimize the number of different power rails in the design. 
Add additional power rails or change the power rail voltages if needed.</t>
  </si>
  <si>
    <t xml:space="preserve">Subtotal </t>
  </si>
  <si>
    <t>Safety Margin</t>
  </si>
  <si>
    <t xml:space="preserve"> +5V Power Rail</t>
  </si>
  <si>
    <t>Total Current Required on +5V Rail</t>
  </si>
  <si>
    <t>c2. Regulator or Source Choice</t>
  </si>
  <si>
    <t xml:space="preserve"> +5V Regulator</t>
  </si>
  <si>
    <t>LM7805</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</si>
  <si>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</si>
  <si>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</si>
  <si>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</si>
  <si>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</si>
  <si>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</si>
  <si>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</si>
  <si>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</si>
  <si>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110VAC</t>
  </si>
  <si>
    <t>Power Rails Connected to External Power Source 1</t>
  </si>
  <si>
    <t>Total Remaining Current Available on External Power Source 1</t>
  </si>
  <si>
    <t xml:space="preserve"> +9V</t>
  </si>
  <si>
    <t>PIC18F57Q43</t>
  </si>
  <si>
    <t>MCP6004</t>
  </si>
  <si>
    <t>Curiosity Nano board</t>
  </si>
  <si>
    <t>quad op-amp</t>
  </si>
  <si>
    <t xml:space="preserve"> 1.8-5.5V</t>
  </si>
  <si>
    <t>3.3-5.5V</t>
  </si>
  <si>
    <t>7-35V</t>
  </si>
  <si>
    <t>Soil Moisture System</t>
  </si>
  <si>
    <t>Power Budget</t>
  </si>
  <si>
    <t>JT Harrison</t>
  </si>
  <si>
    <t>Team Member Name:</t>
  </si>
  <si>
    <t>n/a</t>
  </si>
  <si>
    <t>Copper Tubing Sensor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</si>
</sst>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rgb="FF000000"/>
      <name val="Calibri"/>
    </font>
    <font>
      <b/>
      <sz val="24"/>
      <color rgb="FF000000"/>
      <name val="Calibri"/>
      <family val="2"/>
    </font>
    <font>
      <b/>
      <sz val="12"/>
      <color rgb="FF000000"/>
      <name val="Calibri"/>
      <family val="2"/>
    </font>
    <font>
      <sz val="12"/>
      <name val="Calibri"/>
      <family val="2"/>
    </font>
    <font>
      <b/>
      <sz val="12"/>
      <color rgb="FF000000"/>
      <name val="Arial"/>
      <family val="2"/>
    </font>
    <font>
      <b/>
      <i/>
      <sz val="12"/>
      <color rgb="FF000000"/>
      <name val="Arial"/>
      <family val="2"/>
    </font>
    <font>
      <sz val="12"/>
      <color rgb="FF000000"/>
      <name val="Arial"/>
      <family val="2"/>
    </font>
    <font>
      <b/>
      <i/>
      <sz val="12"/>
      <color rgb="FF000000"/>
      <name val="Calibri"/>
      <family val="2"/>
    </font>
    <font>
      <sz val="12"/>
      <color rgb="FF000000"/>
      <name val="Calibri"/>
      <family val="2"/>
    </font>
  </fonts>
  <fills count="4">
    <fill>
      <patternFill patternType="none"/>
    </fill>
    <fill>
      <patternFill patternType="gray125"/>
    </fill>
    <fill>
      <patternFill patternType="solid">
        <fgColor rgb="FFFFFF00"/>
        <bgColor rgb="FFFFFF00"/>
      </patternFill>
    </fill>
    <fill>
      <patternFill patternType="solid">
        <fgColor rgb="FFEEECE1"/>
        <bgColor rgb="FFEEECE1"/>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right/>
      <top/>
      <bottom style="thin">
        <color indexed="64"/>
      </bottom>
      <diagonal/>
    </border>
    <border>
      <left/>
      <right style="thin">
        <color rgb="FF000000"/>
      </right>
      <top/>
      <bottom style="thin">
        <color indexed="64"/>
      </bottom>
      <diagonal/>
    </border>
  </borders>
  <cellStyleXfs count="1">
    <xf numFmtId="0" fontId="0" fillId="0" borderId="0"/>
  </cellStyleXfs>
  <cellXfs count="55">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5" fillId="0" borderId="11" xfId="0" applyFont="1" applyBorder="1" applyAlignment="1">
      <alignment wrapText="1"/>
    </xf>
    <xf numFmtId="0" fontId="3" fillId="0" borderId="12" xfId="0" applyFont="1" applyBorder="1"/>
    <xf numFmtId="0" fontId="3" fillId="0" borderId="13" xfId="0" applyFont="1" applyBorder="1"/>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3" fillId="0" borderId="8" xfId="0" applyFont="1" applyBorder="1"/>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1" fillId="0" borderId="0" xfId="0" applyFont="1" applyAlignment="1">
      <alignment horizontal="center"/>
    </xf>
    <xf numFmtId="0" fontId="8" fillId="0" borderId="0" xfId="0" applyFont="1"/>
    <xf numFmtId="0" fontId="4" fillId="0" borderId="16" xfId="0" applyFont="1" applyBorder="1" applyAlignment="1">
      <alignment horizontal="center"/>
    </xf>
    <xf numFmtId="49" fontId="5" fillId="0" borderId="17" xfId="0" applyNumberFormat="1" applyFont="1" applyBorder="1" applyAlignment="1">
      <alignment horizontal="right"/>
    </xf>
    <xf numFmtId="0" fontId="0" fillId="0" borderId="17" xfId="0" applyBorder="1"/>
    <xf numFmtId="0" fontId="6" fillId="0" borderId="15" xfId="0" applyFont="1" applyBorder="1" applyAlignment="1">
      <alignment horizontal="right"/>
    </xf>
    <xf numFmtId="0" fontId="6" fillId="0" borderId="18" xfId="0" applyFont="1" applyBorder="1" applyAlignment="1">
      <alignment horizontal="left"/>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B2:I90"/>
  <sheetViews>
    <sheetView tabSelected="1" zoomScale="93" workbookViewId="0">
      <selection activeCell="M30" sqref="M30"/>
    </sheetView>
  </sheetViews>
  <sheetFormatPr baseColWidth="10" defaultColWidth="13.5" defaultRowHeight="15.75" customHeight="1" x14ac:dyDescent="0.2"/>
  <cols>
    <col min="2" max="2" width="26.1640625" customWidth="1"/>
    <col min="3" max="3" width="27.5" bestFit="1" customWidth="1"/>
    <col min="4" max="4" width="16.83203125" bestFit="1" customWidth="1"/>
    <col min="5" max="5" width="22.6640625" bestFit="1" customWidth="1"/>
    <col min="6" max="6" width="6.83203125" customWidth="1"/>
    <col min="7" max="7" width="33" bestFit="1" customWidth="1"/>
    <col min="8" max="8" width="24.33203125" bestFit="1" customWidth="1"/>
    <col min="9" max="9" width="9" customWidth="1"/>
  </cols>
  <sheetData>
    <row r="2" spans="2:9" ht="30" customHeight="1" x14ac:dyDescent="0.35">
      <c r="B2" s="48" t="s">
        <v>41</v>
      </c>
      <c r="C2" s="39"/>
      <c r="D2" s="39"/>
      <c r="E2" s="39"/>
      <c r="F2" s="39"/>
      <c r="G2" s="39"/>
      <c r="H2" s="39"/>
      <c r="I2" s="39"/>
    </row>
    <row r="3" spans="2:9" ht="15" customHeight="1" x14ac:dyDescent="0.2">
      <c r="B3" s="1" t="s">
        <v>0</v>
      </c>
      <c r="C3" s="2">
        <v>106</v>
      </c>
      <c r="E3" s="3"/>
      <c r="F3" s="3"/>
    </row>
    <row r="4" spans="2:9" ht="15" customHeight="1" x14ac:dyDescent="0.2">
      <c r="B4" s="4" t="s">
        <v>1</v>
      </c>
      <c r="C4" s="1" t="s">
        <v>40</v>
      </c>
      <c r="D4" s="5"/>
      <c r="E4" s="3"/>
      <c r="F4" s="3"/>
      <c r="G4" s="5"/>
      <c r="H4" s="5"/>
      <c r="I4" s="5"/>
    </row>
    <row r="5" spans="2:9" ht="15" customHeight="1" x14ac:dyDescent="0.2">
      <c r="B5" s="4" t="s">
        <v>43</v>
      </c>
      <c r="C5" s="1" t="s">
        <v>42</v>
      </c>
      <c r="D5" s="5"/>
      <c r="E5" s="3"/>
      <c r="F5" s="3"/>
      <c r="G5" s="5"/>
      <c r="H5" s="5"/>
      <c r="I5" s="5"/>
    </row>
    <row r="6" spans="2:9" ht="15" customHeight="1" x14ac:dyDescent="0.2">
      <c r="B6" s="4" t="s">
        <v>2</v>
      </c>
      <c r="C6" s="1"/>
      <c r="D6" s="5"/>
      <c r="E6" s="3"/>
      <c r="F6" s="3"/>
      <c r="G6" s="5"/>
      <c r="H6" s="5"/>
      <c r="I6" s="5"/>
    </row>
    <row r="7" spans="2:9" ht="15" customHeight="1" x14ac:dyDescent="0.2">
      <c r="B7" s="6"/>
      <c r="C7" s="5"/>
      <c r="D7" s="5"/>
      <c r="E7" s="3"/>
      <c r="F7" s="3"/>
      <c r="G7" s="5"/>
      <c r="H7" s="5"/>
      <c r="I7" s="5"/>
    </row>
    <row r="8" spans="2:9" ht="15" customHeight="1" x14ac:dyDescent="0.2">
      <c r="B8" s="40" t="s">
        <v>3</v>
      </c>
      <c r="C8" s="41"/>
      <c r="D8" s="41"/>
      <c r="E8" s="41"/>
      <c r="F8" s="41"/>
      <c r="G8" s="41"/>
      <c r="H8" s="41"/>
      <c r="I8" s="42"/>
    </row>
    <row r="9" spans="2:9" ht="15" customHeight="1" x14ac:dyDescent="0.2">
      <c r="B9" s="7" t="s">
        <v>4</v>
      </c>
      <c r="C9" s="8" t="s">
        <v>5</v>
      </c>
      <c r="D9" s="8" t="s">
        <v>6</v>
      </c>
      <c r="E9" s="9" t="s">
        <v>7</v>
      </c>
      <c r="F9" s="9" t="s">
        <v>8</v>
      </c>
      <c r="G9" s="10" t="s">
        <v>9</v>
      </c>
      <c r="H9" s="11" t="s">
        <v>10</v>
      </c>
      <c r="I9" s="11" t="s">
        <v>11</v>
      </c>
    </row>
    <row r="10" spans="2:9" ht="15" customHeight="1" x14ac:dyDescent="0.2">
      <c r="B10" s="12"/>
      <c r="C10" t="s">
        <v>35</v>
      </c>
      <c r="D10" t="s">
        <v>33</v>
      </c>
      <c r="E10" s="13" t="s">
        <v>37</v>
      </c>
      <c r="F10" s="14">
        <v>1</v>
      </c>
      <c r="G10">
        <v>500</v>
      </c>
      <c r="H10" s="15">
        <f t="shared" ref="H10" si="0">F10*G10</f>
        <v>500</v>
      </c>
      <c r="I10" s="16" t="s">
        <v>13</v>
      </c>
    </row>
    <row r="11" spans="2:9" ht="15" customHeight="1" x14ac:dyDescent="0.2">
      <c r="B11" s="12"/>
      <c r="C11" t="s">
        <v>36</v>
      </c>
      <c r="D11" t="s">
        <v>34</v>
      </c>
      <c r="E11" s="13" t="s">
        <v>37</v>
      </c>
      <c r="F11" s="14">
        <v>1</v>
      </c>
      <c r="G11">
        <v>0.7</v>
      </c>
      <c r="H11" s="15">
        <v>0.68</v>
      </c>
      <c r="I11" s="16" t="s">
        <v>13</v>
      </c>
    </row>
    <row r="12" spans="2:9" ht="15" customHeight="1" x14ac:dyDescent="0.2">
      <c r="B12" s="12"/>
      <c r="C12" s="49" t="s">
        <v>45</v>
      </c>
      <c r="D12" s="49" t="s">
        <v>44</v>
      </c>
      <c r="E12" s="14" t="s">
        <v>38</v>
      </c>
      <c r="F12" s="14">
        <v>1</v>
      </c>
      <c r="G12">
        <v>10</v>
      </c>
      <c r="H12" s="15">
        <v>10</v>
      </c>
      <c r="I12" s="16" t="s">
        <v>13</v>
      </c>
    </row>
    <row r="13" spans="2:9" ht="15" customHeight="1" x14ac:dyDescent="0.2">
      <c r="B13" s="12"/>
      <c r="D13" s="17"/>
      <c r="E13" s="13"/>
      <c r="F13" s="14"/>
      <c r="H13" s="15"/>
      <c r="I13" s="16"/>
    </row>
    <row r="14" spans="2:9" ht="15" customHeight="1" x14ac:dyDescent="0.2">
      <c r="B14" s="12"/>
    </row>
    <row r="15" spans="2:9" ht="15" customHeight="1" x14ac:dyDescent="0.2">
      <c r="B15" s="12"/>
      <c r="C15" s="17"/>
      <c r="E15" s="13"/>
      <c r="F15" s="14"/>
      <c r="H15" s="15"/>
      <c r="I15" s="16"/>
    </row>
    <row r="16" spans="2:9" ht="15" customHeight="1" x14ac:dyDescent="0.2">
      <c r="B16" s="18"/>
      <c r="C16" s="6"/>
      <c r="D16" s="5"/>
      <c r="E16" s="19"/>
      <c r="F16" s="3"/>
      <c r="G16" s="5"/>
      <c r="H16" s="20"/>
      <c r="I16" s="20"/>
    </row>
    <row r="17" spans="2:9" ht="15" customHeight="1" x14ac:dyDescent="0.2">
      <c r="B17" s="40" t="s">
        <v>14</v>
      </c>
      <c r="C17" s="41"/>
      <c r="D17" s="41"/>
      <c r="E17" s="41"/>
      <c r="F17" s="41"/>
      <c r="G17" s="41"/>
      <c r="H17" s="41"/>
      <c r="I17" s="42"/>
    </row>
    <row r="18" spans="2:9" ht="15" customHeight="1" x14ac:dyDescent="0.2">
      <c r="B18" s="21" t="s">
        <v>17</v>
      </c>
      <c r="C18" s="8" t="s">
        <v>5</v>
      </c>
      <c r="D18" s="8" t="s">
        <v>6</v>
      </c>
      <c r="E18" s="9" t="s">
        <v>7</v>
      </c>
      <c r="F18" s="9" t="s">
        <v>8</v>
      </c>
      <c r="G18" s="10" t="s">
        <v>9</v>
      </c>
      <c r="H18" s="29" t="s">
        <v>10</v>
      </c>
      <c r="I18" s="29" t="s">
        <v>11</v>
      </c>
    </row>
    <row r="19" spans="2:9" ht="15" customHeight="1" x14ac:dyDescent="0.2">
      <c r="B19" s="12"/>
      <c r="C19" t="s">
        <v>35</v>
      </c>
      <c r="D19" t="s">
        <v>33</v>
      </c>
      <c r="E19" s="13" t="s">
        <v>37</v>
      </c>
      <c r="F19" s="14">
        <v>1</v>
      </c>
      <c r="G19">
        <v>500</v>
      </c>
      <c r="H19" s="15">
        <f t="shared" ref="H19" si="1">F19*G19</f>
        <v>500</v>
      </c>
      <c r="I19" s="16" t="s">
        <v>13</v>
      </c>
    </row>
    <row r="20" spans="2:9" ht="15" customHeight="1" x14ac:dyDescent="0.2">
      <c r="B20" s="12"/>
      <c r="C20" t="s">
        <v>36</v>
      </c>
      <c r="D20" t="s">
        <v>34</v>
      </c>
      <c r="E20" s="13" t="s">
        <v>37</v>
      </c>
      <c r="F20" s="14">
        <v>1</v>
      </c>
      <c r="G20">
        <v>0.7</v>
      </c>
      <c r="H20" s="15">
        <v>0.68</v>
      </c>
      <c r="I20" s="16" t="s">
        <v>13</v>
      </c>
    </row>
    <row r="21" spans="2:9" ht="15" customHeight="1" x14ac:dyDescent="0.2">
      <c r="B21" s="12"/>
      <c r="C21" s="49" t="s">
        <v>45</v>
      </c>
      <c r="D21" s="49" t="s">
        <v>44</v>
      </c>
      <c r="E21" s="14" t="s">
        <v>38</v>
      </c>
      <c r="F21" s="14">
        <v>1</v>
      </c>
      <c r="G21">
        <v>10</v>
      </c>
      <c r="H21" s="15">
        <v>10</v>
      </c>
      <c r="I21" s="16" t="s">
        <v>13</v>
      </c>
    </row>
    <row r="22" spans="2:9" ht="15" customHeight="1" x14ac:dyDescent="0.2">
      <c r="B22" s="12"/>
      <c r="E22" s="14"/>
      <c r="F22" s="14"/>
      <c r="G22">
        <v>1000</v>
      </c>
      <c r="H22" s="15">
        <f>F22*G22</f>
        <v>0</v>
      </c>
      <c r="I22" s="16" t="s">
        <v>13</v>
      </c>
    </row>
    <row r="23" spans="2:9" ht="15" customHeight="1" x14ac:dyDescent="0.2">
      <c r="B23" s="12"/>
      <c r="E23" s="14"/>
      <c r="F23" s="14"/>
      <c r="H23" s="15">
        <f t="shared" ref="H23" si="2">F23*G23</f>
        <v>0</v>
      </c>
      <c r="I23" s="16" t="s">
        <v>13</v>
      </c>
    </row>
    <row r="24" spans="2:9" ht="15" customHeight="1" x14ac:dyDescent="0.2">
      <c r="B24" s="12"/>
      <c r="C24" s="45" t="s">
        <v>15</v>
      </c>
      <c r="D24" s="39"/>
      <c r="E24" s="39"/>
      <c r="F24" s="39"/>
      <c r="G24" s="39"/>
      <c r="H24" s="15">
        <f>SUM(H19:H23)</f>
        <v>510.68</v>
      </c>
      <c r="I24" s="16" t="s">
        <v>13</v>
      </c>
    </row>
    <row r="25" spans="2:9" ht="15" customHeight="1" x14ac:dyDescent="0.2">
      <c r="B25" s="12"/>
      <c r="C25" s="45" t="s">
        <v>16</v>
      </c>
      <c r="D25" s="39"/>
      <c r="E25" s="39"/>
      <c r="F25" s="39"/>
      <c r="G25" s="39"/>
      <c r="H25" s="22">
        <v>0.25</v>
      </c>
      <c r="I25" s="22"/>
    </row>
    <row r="26" spans="2:9" ht="15" customHeight="1" x14ac:dyDescent="0.2">
      <c r="B26" s="23"/>
      <c r="C26" s="46" t="s">
        <v>18</v>
      </c>
      <c r="D26" s="39"/>
      <c r="E26" s="39"/>
      <c r="F26" s="39"/>
      <c r="G26" s="39"/>
      <c r="H26" s="15">
        <f>H24*(1+H25)</f>
        <v>638.35</v>
      </c>
      <c r="I26" s="16" t="s">
        <v>13</v>
      </c>
    </row>
    <row r="27" spans="2:9" ht="15" customHeight="1" x14ac:dyDescent="0.2">
      <c r="B27" s="24"/>
      <c r="C27" s="25"/>
      <c r="D27" s="25"/>
      <c r="E27" s="13"/>
      <c r="F27" s="13"/>
      <c r="G27" s="26"/>
      <c r="H27" s="27"/>
      <c r="I27" s="15"/>
    </row>
    <row r="28" spans="2:9" ht="15" customHeight="1" x14ac:dyDescent="0.2">
      <c r="B28" s="24" t="s">
        <v>19</v>
      </c>
      <c r="C28" s="25" t="s">
        <v>20</v>
      </c>
      <c r="D28" s="25" t="s">
        <v>21</v>
      </c>
      <c r="E28" s="13" t="s">
        <v>39</v>
      </c>
      <c r="F28" s="13">
        <v>1</v>
      </c>
      <c r="G28" s="26">
        <v>1000</v>
      </c>
      <c r="H28" s="27">
        <f>F28*G28</f>
        <v>1000</v>
      </c>
      <c r="I28" s="16" t="s">
        <v>13</v>
      </c>
    </row>
    <row r="29" spans="2:9" ht="15" customHeight="1" x14ac:dyDescent="0.2">
      <c r="B29" s="28"/>
      <c r="C29" s="47" t="s">
        <v>22</v>
      </c>
      <c r="D29" s="37"/>
      <c r="E29" s="37"/>
      <c r="F29" s="37"/>
      <c r="G29" s="37"/>
      <c r="H29" s="27">
        <f>H28-H26</f>
        <v>361.65</v>
      </c>
      <c r="I29" s="16" t="s">
        <v>13</v>
      </c>
    </row>
    <row r="30" spans="2:9" ht="15" customHeight="1" x14ac:dyDescent="0.2">
      <c r="B30" s="40" t="s">
        <v>23</v>
      </c>
      <c r="C30" s="41"/>
      <c r="D30" s="41"/>
      <c r="E30" s="41"/>
      <c r="F30" s="41"/>
      <c r="G30" s="41"/>
      <c r="H30" s="41"/>
      <c r="I30" s="42"/>
    </row>
    <row r="31" spans="2:9" ht="15" customHeight="1" x14ac:dyDescent="0.2">
      <c r="B31" s="36"/>
      <c r="C31" s="37"/>
      <c r="D31" s="37"/>
      <c r="E31" s="37"/>
      <c r="F31" s="37"/>
      <c r="G31" s="37"/>
      <c r="H31" s="37"/>
      <c r="I31" s="38"/>
    </row>
    <row r="32" spans="2:9" ht="15" customHeight="1" x14ac:dyDescent="0.2">
      <c r="B32" s="40" t="s">
        <v>24</v>
      </c>
      <c r="C32" s="41"/>
      <c r="D32" s="41"/>
      <c r="E32" s="41"/>
      <c r="F32" s="41"/>
      <c r="G32" s="41"/>
      <c r="H32" s="41"/>
      <c r="I32" s="42"/>
    </row>
    <row r="33" spans="2:9" ht="15" customHeight="1" x14ac:dyDescent="0.2">
      <c r="B33" s="21" t="s">
        <v>25</v>
      </c>
      <c r="C33" s="8" t="s">
        <v>5</v>
      </c>
      <c r="D33" s="8" t="s">
        <v>6</v>
      </c>
      <c r="E33" s="9" t="s">
        <v>7</v>
      </c>
      <c r="F33" s="30" t="s">
        <v>26</v>
      </c>
      <c r="G33" s="10" t="s">
        <v>9</v>
      </c>
      <c r="H33" s="29" t="s">
        <v>10</v>
      </c>
      <c r="I33" s="29" t="s">
        <v>11</v>
      </c>
    </row>
    <row r="34" spans="2:9" ht="15" customHeight="1" x14ac:dyDescent="0.2">
      <c r="B34" s="31" t="s">
        <v>27</v>
      </c>
      <c r="C34" s="25" t="s">
        <v>28</v>
      </c>
      <c r="D34" s="13" t="s">
        <v>12</v>
      </c>
      <c r="E34" s="13" t="s">
        <v>29</v>
      </c>
      <c r="F34" s="13" t="s">
        <v>32</v>
      </c>
      <c r="G34" s="26">
        <v>1000</v>
      </c>
      <c r="H34" s="32">
        <v>640</v>
      </c>
      <c r="I34" s="33" t="s">
        <v>13</v>
      </c>
    </row>
    <row r="35" spans="2:9" ht="15" customHeight="1" x14ac:dyDescent="0.2">
      <c r="B35" s="34"/>
      <c r="C35" s="25"/>
      <c r="D35" s="25"/>
      <c r="E35" s="13"/>
      <c r="F35" s="13"/>
      <c r="G35" s="26"/>
      <c r="H35" s="27"/>
      <c r="I35" s="35"/>
    </row>
    <row r="36" spans="2:9" ht="15" customHeight="1" x14ac:dyDescent="0.2">
      <c r="B36" s="43" t="s">
        <v>30</v>
      </c>
      <c r="C36" s="25"/>
      <c r="D36" s="25"/>
      <c r="E36" s="13"/>
      <c r="F36" s="13"/>
      <c r="G36" s="26"/>
      <c r="H36" s="27"/>
      <c r="I36" s="16" t="s">
        <v>13</v>
      </c>
    </row>
    <row r="37" spans="2:9" ht="15" customHeight="1" x14ac:dyDescent="0.2">
      <c r="B37" s="44"/>
      <c r="C37" s="25" t="s">
        <v>20</v>
      </c>
      <c r="D37" s="25" t="s">
        <v>21</v>
      </c>
      <c r="E37" s="13" t="s">
        <v>39</v>
      </c>
      <c r="F37" s="13">
        <v>1</v>
      </c>
      <c r="G37" s="26">
        <v>1000</v>
      </c>
      <c r="H37" s="27">
        <f t="shared" ref="H37" si="3">F37*G37</f>
        <v>1000</v>
      </c>
      <c r="I37" s="16" t="s">
        <v>13</v>
      </c>
    </row>
    <row r="38" spans="2:9" ht="15" customHeight="1" x14ac:dyDescent="0.2">
      <c r="B38" s="44"/>
      <c r="C38" s="17"/>
      <c r="E38" s="13"/>
      <c r="F38" s="14"/>
      <c r="H38" s="15"/>
      <c r="I38" s="16" t="s">
        <v>13</v>
      </c>
    </row>
    <row r="39" spans="2:9" ht="15" customHeight="1" x14ac:dyDescent="0.2">
      <c r="B39" s="50"/>
      <c r="C39" s="51" t="s">
        <v>31</v>
      </c>
      <c r="D39" s="52"/>
      <c r="E39" s="52"/>
      <c r="F39" s="52"/>
      <c r="G39" s="52"/>
      <c r="H39" s="53">
        <f>H34-SUM(H36:H38)</f>
        <v>-360</v>
      </c>
      <c r="I39" s="54" t="s">
        <v>13</v>
      </c>
    </row>
    <row r="40" spans="2:9" ht="15" customHeight="1" x14ac:dyDescent="0.2"/>
    <row r="41" spans="2:9" ht="15" customHeight="1" x14ac:dyDescent="0.2"/>
    <row r="42" spans="2:9" ht="15" customHeight="1" x14ac:dyDescent="0.2"/>
    <row r="43" spans="2:9" ht="15" customHeight="1" x14ac:dyDescent="0.2"/>
    <row r="44" spans="2:9" ht="15" customHeight="1" x14ac:dyDescent="0.2"/>
    <row r="45" spans="2:9" ht="15" customHeight="1" x14ac:dyDescent="0.2"/>
    <row r="46" spans="2:9" ht="15" customHeight="1" x14ac:dyDescent="0.2"/>
    <row r="47" spans="2:9" ht="15" customHeight="1" x14ac:dyDescent="0.2"/>
    <row r="48" spans="2:9"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row r="61" ht="15" customHeight="1" x14ac:dyDescent="0.2"/>
    <row r="62" ht="15" customHeight="1" x14ac:dyDescent="0.2"/>
    <row r="63" ht="15" customHeight="1" x14ac:dyDescent="0.2"/>
    <row r="64"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sheetData>
  <mergeCells count="12">
    <mergeCell ref="B2:I2"/>
    <mergeCell ref="B8:I8"/>
    <mergeCell ref="B17:I17"/>
    <mergeCell ref="C24:G24"/>
    <mergeCell ref="C25:G25"/>
    <mergeCell ref="C26:G26"/>
    <mergeCell ref="C29:G29"/>
    <mergeCell ref="B30:I30"/>
    <mergeCell ref="B31:I31"/>
    <mergeCell ref="B32:I32"/>
    <mergeCell ref="B36:B38"/>
    <mergeCell ref="C39:G39"/>
  </mergeCells>
  <conditionalFormatting sqref="H29">
    <cfRule type="cellIs" dxfId="0" priority="1" operator="lessThan">
      <formula>0</formula>
    </cfRule>
  </conditionalFormatting>
  <pageMargins left="0.7" right="0.7" top="0.75" bottom="0.75" header="0.3" footer="0.3"/>
  <pageSetup scale="51"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Jt Harrison (Student)</cp:lastModifiedBy>
  <cp:lastPrinted>2025-11-01T05:38:10Z</cp:lastPrinted>
  <dcterms:created xsi:type="dcterms:W3CDTF">2025-12-07T09:28:17Z</dcterms:created>
  <dcterms:modified xsi:type="dcterms:W3CDTF">2025-12-07T09:28:17Z</dcterms:modified>
</cp:coreProperties>
</file>